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G5" i="1" l="1"/>
  <c r="G7" i="1" s="1"/>
  <c r="G38" i="1" l="1"/>
  <c r="G14" i="1"/>
  <c r="G39" i="1"/>
  <c r="G15" i="1"/>
  <c r="G24" i="1"/>
  <c r="G9" i="1"/>
  <c r="G23" i="1"/>
  <c r="G6" i="1"/>
  <c r="G37" i="1"/>
  <c r="G22" i="1"/>
  <c r="G13" i="1"/>
  <c r="G8" i="1"/>
  <c r="G36" i="1"/>
  <c r="G21" i="1"/>
  <c r="G12" i="1"/>
  <c r="F19" i="1"/>
  <c r="H5" i="1"/>
  <c r="H12" i="1" s="1"/>
  <c r="I5" i="1"/>
  <c r="I23" i="1" s="1"/>
  <c r="J5" i="1"/>
  <c r="J21" i="1" s="1"/>
  <c r="K5" i="1"/>
  <c r="K21" i="1" s="1"/>
  <c r="L5" i="1"/>
  <c r="L21" i="1" s="1"/>
  <c r="G10" i="1" l="1"/>
  <c r="G32" i="1" s="1"/>
  <c r="I24" i="1"/>
  <c r="I21" i="1"/>
  <c r="J22" i="1"/>
  <c r="J24" i="1"/>
  <c r="I22" i="1"/>
  <c r="L24" i="1"/>
  <c r="H24" i="1"/>
  <c r="J23" i="1"/>
  <c r="L22" i="1"/>
  <c r="H22" i="1"/>
  <c r="L23" i="1"/>
  <c r="H23" i="1"/>
  <c r="K23" i="1"/>
  <c r="K24" i="1"/>
  <c r="K22" i="1"/>
  <c r="H21" i="1"/>
  <c r="H36" i="1"/>
  <c r="J39" i="1"/>
  <c r="J15" i="1"/>
  <c r="L8" i="1"/>
  <c r="J37" i="1"/>
  <c r="J13" i="1"/>
  <c r="J36" i="1"/>
  <c r="J12" i="1"/>
  <c r="J38" i="1"/>
  <c r="J14" i="1"/>
  <c r="H14" i="1"/>
  <c r="H38" i="1"/>
  <c r="H15" i="1"/>
  <c r="H39" i="1"/>
  <c r="H13" i="1"/>
  <c r="H37" i="1"/>
  <c r="H6" i="1"/>
  <c r="I6" i="1"/>
  <c r="J6" i="1"/>
  <c r="L6" i="1"/>
  <c r="H7" i="1"/>
  <c r="I7" i="1"/>
  <c r="J7" i="1"/>
  <c r="L7" i="1"/>
  <c r="H8" i="1"/>
  <c r="I8" i="1"/>
  <c r="J8" i="1"/>
  <c r="H9" i="1"/>
  <c r="I9" i="1"/>
  <c r="J9" i="1"/>
  <c r="L9" i="1"/>
  <c r="N24" i="1" l="1"/>
  <c r="N22" i="1"/>
  <c r="N23" i="1"/>
  <c r="N21" i="1"/>
  <c r="G31" i="1"/>
  <c r="G29" i="1"/>
  <c r="G30" i="1"/>
  <c r="I10" i="1"/>
  <c r="I30" i="1" s="1"/>
  <c r="H10" i="1"/>
  <c r="H30" i="1" s="1"/>
  <c r="J10" i="1"/>
  <c r="J31" i="1" s="1"/>
  <c r="L10" i="1"/>
  <c r="L30" i="1" s="1"/>
  <c r="M21" i="1"/>
  <c r="M24" i="1"/>
  <c r="V24" i="1" s="1"/>
  <c r="M22" i="1"/>
  <c r="M23" i="1"/>
  <c r="I36" i="1"/>
  <c r="I12" i="1"/>
  <c r="I38" i="1"/>
  <c r="I14" i="1"/>
  <c r="I37" i="1"/>
  <c r="I13" i="1"/>
  <c r="I39" i="1"/>
  <c r="I15" i="1"/>
  <c r="L37" i="1"/>
  <c r="L13" i="1"/>
  <c r="L39" i="1"/>
  <c r="L15" i="1"/>
  <c r="L38" i="1"/>
  <c r="L14" i="1"/>
  <c r="L36" i="1"/>
  <c r="L12" i="1"/>
  <c r="V22" i="1" l="1"/>
  <c r="V23" i="1"/>
  <c r="T21" i="1"/>
  <c r="V21" i="1"/>
  <c r="R24" i="1"/>
  <c r="T24" i="1"/>
  <c r="R23" i="1"/>
  <c r="T23" i="1"/>
  <c r="R22" i="1"/>
  <c r="T22" i="1"/>
  <c r="R21" i="1"/>
  <c r="L29" i="1"/>
  <c r="I31" i="1"/>
  <c r="J30" i="1"/>
  <c r="J32" i="1"/>
  <c r="I29" i="1"/>
  <c r="L32" i="1"/>
  <c r="H31" i="1"/>
  <c r="J29" i="1"/>
  <c r="L31" i="1"/>
  <c r="I32" i="1"/>
  <c r="H29" i="1"/>
  <c r="H32" i="1"/>
  <c r="P21" i="1"/>
  <c r="C21" i="1" s="1"/>
  <c r="K38" i="1"/>
  <c r="M38" i="1" s="1"/>
  <c r="K14" i="1"/>
  <c r="K36" i="1"/>
  <c r="N36" i="1" s="1"/>
  <c r="K12" i="1"/>
  <c r="M12" i="1" s="1"/>
  <c r="K39" i="1"/>
  <c r="M39" i="1" s="1"/>
  <c r="K15" i="1"/>
  <c r="M15" i="1" s="1"/>
  <c r="K37" i="1"/>
  <c r="M37" i="1" s="1"/>
  <c r="K13" i="1"/>
  <c r="O13" i="1" s="1"/>
  <c r="K7" i="1"/>
  <c r="K9" i="1"/>
  <c r="K6" i="1"/>
  <c r="K8" i="1"/>
  <c r="L27" i="1" l="1"/>
  <c r="K27" i="1"/>
  <c r="J27" i="1"/>
  <c r="I27" i="1"/>
  <c r="H27" i="1"/>
  <c r="G27" i="1"/>
  <c r="V25" i="1"/>
  <c r="R25" i="1"/>
  <c r="S21" i="1" s="1"/>
  <c r="T25" i="1"/>
  <c r="U23" i="1" s="1"/>
  <c r="M14" i="1"/>
  <c r="O14" i="1"/>
  <c r="O15" i="1"/>
  <c r="O12" i="1"/>
  <c r="N15" i="1"/>
  <c r="M13" i="1"/>
  <c r="N13" i="1"/>
  <c r="N14" i="1"/>
  <c r="N12" i="1"/>
  <c r="K10" i="1"/>
  <c r="K31" i="1" s="1"/>
  <c r="M31" i="1" s="1"/>
  <c r="C23" i="1"/>
  <c r="C24" i="1"/>
  <c r="C22" i="1"/>
  <c r="N37" i="1"/>
  <c r="C45" i="1" s="1"/>
  <c r="N39" i="1"/>
  <c r="C47" i="1" s="1"/>
  <c r="N38" i="1"/>
  <c r="C46" i="1" s="1"/>
  <c r="M36" i="1"/>
  <c r="O31" i="1" l="1"/>
  <c r="N31" i="1"/>
  <c r="W22" i="1"/>
  <c r="W24" i="1"/>
  <c r="W23" i="1"/>
  <c r="S24" i="1"/>
  <c r="W21" i="1"/>
  <c r="U21" i="1"/>
  <c r="U24" i="1"/>
  <c r="U22" i="1"/>
  <c r="S23" i="1"/>
  <c r="S22" i="1"/>
  <c r="P13" i="1"/>
  <c r="C12" i="1" s="1"/>
  <c r="P17" i="1"/>
  <c r="E14" i="1" s="1"/>
  <c r="P15" i="1"/>
  <c r="D13" i="1" s="1"/>
  <c r="L44" i="1"/>
  <c r="N44" i="1"/>
  <c r="N46" i="1"/>
  <c r="N47" i="1"/>
  <c r="N45" i="1"/>
  <c r="L45" i="1"/>
  <c r="L47" i="1"/>
  <c r="L46" i="1"/>
  <c r="J45" i="1"/>
  <c r="J47" i="1"/>
  <c r="H44" i="1"/>
  <c r="J44" i="1"/>
  <c r="J46" i="1"/>
  <c r="H45" i="1"/>
  <c r="H47" i="1"/>
  <c r="H46" i="1"/>
  <c r="F47" i="1"/>
  <c r="F46" i="1"/>
  <c r="F45" i="1"/>
  <c r="C44" i="1"/>
  <c r="F44" i="1"/>
  <c r="K30" i="1"/>
  <c r="O30" i="1" s="1"/>
  <c r="K32" i="1"/>
  <c r="O32" i="1" s="1"/>
  <c r="K29" i="1"/>
  <c r="L28" i="1" l="1"/>
  <c r="K28" i="1"/>
  <c r="J28" i="1"/>
  <c r="H28" i="1"/>
  <c r="I28" i="1"/>
  <c r="G28" i="1"/>
  <c r="N29" i="1"/>
  <c r="O29" i="1"/>
  <c r="M32" i="1"/>
  <c r="N32" i="1"/>
  <c r="M30" i="1"/>
  <c r="N30" i="1"/>
  <c r="M29" i="1"/>
  <c r="C13" i="1"/>
  <c r="C15" i="1"/>
  <c r="C14" i="1"/>
  <c r="E12" i="1"/>
  <c r="E13" i="1"/>
  <c r="E15" i="1"/>
  <c r="D12" i="1"/>
  <c r="D15" i="1"/>
  <c r="D14" i="1"/>
  <c r="N49" i="1"/>
  <c r="P46" i="1" s="1"/>
  <c r="L49" i="1"/>
  <c r="M46" i="1" s="1"/>
  <c r="J49" i="1"/>
  <c r="K45" i="1" s="1"/>
  <c r="H49" i="1"/>
  <c r="I46" i="1" s="1"/>
  <c r="F49" i="1"/>
  <c r="G44" i="1" s="1"/>
  <c r="C49" i="1"/>
  <c r="P32" i="1" l="1"/>
  <c r="P31" i="1"/>
  <c r="P29" i="1"/>
  <c r="P30" i="1"/>
  <c r="Q32" i="1"/>
  <c r="Q30" i="1"/>
  <c r="D32" i="1" s="1"/>
  <c r="Q28" i="1"/>
  <c r="C31" i="1" s="1"/>
  <c r="E47" i="1"/>
  <c r="E45" i="1"/>
  <c r="E46" i="1"/>
  <c r="E44" i="1"/>
  <c r="P47" i="1"/>
  <c r="P44" i="1"/>
  <c r="P45" i="1"/>
  <c r="M45" i="1"/>
  <c r="M44" i="1"/>
  <c r="M47" i="1"/>
  <c r="K46" i="1"/>
  <c r="K47" i="1"/>
  <c r="K44" i="1"/>
  <c r="I44" i="1"/>
  <c r="I45" i="1"/>
  <c r="I47" i="1"/>
  <c r="G47" i="1"/>
  <c r="G46" i="1"/>
  <c r="G45" i="1"/>
  <c r="C38" i="1"/>
  <c r="C39" i="1"/>
  <c r="C36" i="1"/>
  <c r="C37" i="1"/>
  <c r="C29" i="1"/>
  <c r="Q34" i="1" l="1"/>
  <c r="F29" i="1" s="1"/>
  <c r="E31" i="1"/>
  <c r="E32" i="1"/>
  <c r="E29" i="1"/>
  <c r="E30" i="1"/>
  <c r="D29" i="1"/>
  <c r="D31" i="1"/>
  <c r="D30" i="1"/>
  <c r="C30" i="1"/>
  <c r="C32" i="1"/>
  <c r="F30" i="1" l="1"/>
  <c r="F31" i="1"/>
  <c r="F32" i="1"/>
</calcChain>
</file>

<file path=xl/sharedStrings.xml><?xml version="1.0" encoding="utf-8"?>
<sst xmlns="http://schemas.openxmlformats.org/spreadsheetml/2006/main" count="89" uniqueCount="79">
  <si>
    <t>итак есть 4 станка у них там своя какая-то вещь, и эээ, ну там надо будет рассчитать какие-то критерии</t>
  </si>
  <si>
    <t>там ещё и надо указать Q` и Q``, которые не даются по заданию; я серьёзно</t>
  </si>
  <si>
    <t>Q1</t>
  </si>
  <si>
    <t>Q2</t>
  </si>
  <si>
    <t>Q3</t>
  </si>
  <si>
    <t>Q4</t>
  </si>
  <si>
    <t>Q5</t>
  </si>
  <si>
    <t>Q6</t>
  </si>
  <si>
    <t>это ещё и траты вместо выигышей, так что нужно исать минимумы???</t>
  </si>
  <si>
    <t>n1</t>
  </si>
  <si>
    <t>n2</t>
  </si>
  <si>
    <t>n3</t>
  </si>
  <si>
    <t>n4</t>
  </si>
  <si>
    <t>Q`</t>
  </si>
  <si>
    <t>Q``</t>
  </si>
  <si>
    <t>критерии</t>
  </si>
  <si>
    <t>вальдемар</t>
  </si>
  <si>
    <t>гурвиц</t>
  </si>
  <si>
    <t>лаплас</t>
  </si>
  <si>
    <t>севидж</t>
  </si>
  <si>
    <t>фишка</t>
  </si>
  <si>
    <t>формула?</t>
  </si>
  <si>
    <t>недополученное</t>
  </si>
  <si>
    <t>вероятность</t>
  </si>
  <si>
    <t>минимакс</t>
  </si>
  <si>
    <t>максимин (минимакс)</t>
  </si>
  <si>
    <t>max[i](min[j] a[i,j])</t>
  </si>
  <si>
    <t>max[i](c*max[j] a[i,j] + (1-c) * min[j] a[i,j])</t>
  </si>
  <si>
    <t>max[i](sum[j=1-&gt;m]a[I,j]*p[j])</t>
  </si>
  <si>
    <t>min[i](max[j](max[i]a[I,j]-a[I,j]))</t>
  </si>
  <si>
    <t>он же максимин</t>
  </si>
  <si>
    <t>ну тут траты</t>
  </si>
  <si>
    <t>так что будем искать минимакс???</t>
  </si>
  <si>
    <t>тут оба надо</t>
  </si>
  <si>
    <t>max</t>
  </si>
  <si>
    <t>min</t>
  </si>
  <si>
    <t>он же максимин побед</t>
  </si>
  <si>
    <t>кэфы для гурвица</t>
  </si>
  <si>
    <t>осторожный</t>
  </si>
  <si>
    <t>максимум это траты</t>
  </si>
  <si>
    <t>люто осторожный</t>
  </si>
  <si>
    <t>нейтральный</t>
  </si>
  <si>
    <t>азартный</t>
  </si>
  <si>
    <t>активный</t>
  </si>
  <si>
    <t>грубый</t>
  </si>
  <si>
    <t>установить вероятности иии</t>
  </si>
  <si>
    <t>умножать на них значения</t>
  </si>
  <si>
    <t>после чего минимизировать/максимизировать</t>
  </si>
  <si>
    <t>разница между максимальным и о</t>
  </si>
  <si>
    <t>антивальдемар</t>
  </si>
  <si>
    <t>он же азартный игрок</t>
  </si>
  <si>
    <t>максмин</t>
  </si>
  <si>
    <t>Азарт</t>
  </si>
  <si>
    <t>Нейтрал</t>
  </si>
  <si>
    <t>Лаплас</t>
  </si>
  <si>
    <t>Лемон</t>
  </si>
  <si>
    <t>Севидж</t>
  </si>
  <si>
    <t>ССС</t>
  </si>
  <si>
    <t>полувальдемар</t>
  </si>
  <si>
    <t>он же нейтрал</t>
  </si>
  <si>
    <t>MAX</t>
  </si>
  <si>
    <t>MIN</t>
  </si>
  <si>
    <t>AVG</t>
  </si>
  <si>
    <t>SUM</t>
  </si>
  <si>
    <t>MAX (valde)</t>
  </si>
  <si>
    <t>для лемона</t>
  </si>
  <si>
    <t>Дисперсия</t>
  </si>
  <si>
    <t>Гурвиц</t>
  </si>
  <si>
    <t>лютый</t>
  </si>
  <si>
    <t>средний</t>
  </si>
  <si>
    <t>MAX trat+</t>
  </si>
  <si>
    <t>AVG trat+</t>
  </si>
  <si>
    <t>нейтальные сожаления</t>
  </si>
  <si>
    <t>субъективно средние сожаления</t>
  </si>
  <si>
    <t>вер. Трат</t>
  </si>
  <si>
    <t>Хомяк (вер. Доп. Трат)</t>
  </si>
  <si>
    <t>trat+ prob norm</t>
  </si>
  <si>
    <t>trat+ prob trat+</t>
  </si>
  <si>
    <t>хаменюк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</si>
</sst>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Fill="1" applyBorder="1"/>
    <xf numFmtId="0" fontId="0" fillId="2" borderId="0" xfId="0" applyFill="1"/>
    <xf numFmtId="0" fontId="0" fillId="0" borderId="0" xfId="0" applyFill="1"/>
    <xf numFmtId="0" fontId="0" fillId="0" borderId="16" xfId="0" applyBorder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9"/>
  <sheetViews>
    <sheetView tabSelected="1" topLeftCell="A29" zoomScaleNormal="100" workbookViewId="0">
      <selection activeCell="D57" sqref="D57"/>
    </sheetView>
  </sheetViews>
  <sheetFormatPr defaultRowHeight="14.4" x14ac:dyDescent="0.3"/>
  <cols>
    <col min="1" max="1" width="22.33203125" customWidth="1"/>
    <col min="2" max="2" width="21.33203125" customWidth="1"/>
    <col min="6" max="6" width="11.44140625" customWidth="1"/>
    <col min="15" max="15" width="10.33203125" customWidth="1"/>
    <col min="16" max="16" width="14.77734375" customWidth="1"/>
    <col min="17" max="17" width="19.6640625" customWidth="1"/>
  </cols>
  <sheetData>
    <row r="1" spans="1:18" x14ac:dyDescent="0.3">
      <c r="A1" t="s">
        <v>0</v>
      </c>
      <c r="P1" t="s">
        <v>15</v>
      </c>
      <c r="Q1" t="s">
        <v>20</v>
      </c>
      <c r="R1" t="s">
        <v>21</v>
      </c>
    </row>
    <row r="2" spans="1:18" x14ac:dyDescent="0.3">
      <c r="A2" t="s">
        <v>1</v>
      </c>
      <c r="P2" t="s">
        <v>16</v>
      </c>
      <c r="Q2" t="s">
        <v>25</v>
      </c>
      <c r="R2" t="s">
        <v>26</v>
      </c>
    </row>
    <row r="3" spans="1:18" ht="15" thickBot="1" x14ac:dyDescent="0.35">
      <c r="A3" t="s">
        <v>8</v>
      </c>
      <c r="P3" t="s">
        <v>17</v>
      </c>
      <c r="Q3" t="s">
        <v>24</v>
      </c>
      <c r="R3" t="s">
        <v>27</v>
      </c>
    </row>
    <row r="4" spans="1:18" x14ac:dyDescent="0.3">
      <c r="A4" s="1" t="s">
        <v>13</v>
      </c>
      <c r="B4" s="2" t="s">
        <v>14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P4" t="s">
        <v>18</v>
      </c>
      <c r="Q4" t="s">
        <v>23</v>
      </c>
      <c r="R4" t="s">
        <v>28</v>
      </c>
    </row>
    <row r="5" spans="1:18" ht="15" thickBot="1" x14ac:dyDescent="0.35">
      <c r="A5" s="3">
        <v>10</v>
      </c>
      <c r="B5" s="4">
        <v>50</v>
      </c>
      <c r="F5" s="5"/>
      <c r="G5" s="6">
        <f ca="1">RANDBETWEEN($A$5,$B$5)</f>
        <v>36</v>
      </c>
      <c r="H5" s="6">
        <f t="shared" ref="H5:L5" ca="1" si="0">RANDBETWEEN($A$5,$B$5)</f>
        <v>49</v>
      </c>
      <c r="I5" s="6">
        <f t="shared" ca="1" si="0"/>
        <v>15</v>
      </c>
      <c r="J5" s="6">
        <f t="shared" ca="1" si="0"/>
        <v>15</v>
      </c>
      <c r="K5" s="6">
        <f t="shared" ca="1" si="0"/>
        <v>17</v>
      </c>
      <c r="L5" s="6">
        <f t="shared" ca="1" si="0"/>
        <v>31</v>
      </c>
      <c r="P5" t="s">
        <v>19</v>
      </c>
      <c r="Q5" t="s">
        <v>22</v>
      </c>
      <c r="R5" t="s">
        <v>29</v>
      </c>
    </row>
    <row r="6" spans="1:18" x14ac:dyDescent="0.3">
      <c r="A6">
        <v>100</v>
      </c>
      <c r="B6">
        <v>5</v>
      </c>
      <c r="D6" s="12"/>
      <c r="E6" s="12"/>
      <c r="F6" s="7" t="s">
        <v>9</v>
      </c>
      <c r="G6">
        <f ca="1">$A6+$B6*G$5</f>
        <v>280</v>
      </c>
      <c r="H6">
        <f t="shared" ref="H6:L6" ca="1" si="1">$A6+$B6*H$5</f>
        <v>345</v>
      </c>
      <c r="I6">
        <f t="shared" ca="1" si="1"/>
        <v>175</v>
      </c>
      <c r="J6">
        <f t="shared" ca="1" si="1"/>
        <v>175</v>
      </c>
      <c r="K6">
        <f t="shared" ca="1" si="1"/>
        <v>185</v>
      </c>
      <c r="L6">
        <f t="shared" ca="1" si="1"/>
        <v>255</v>
      </c>
    </row>
    <row r="7" spans="1:18" x14ac:dyDescent="0.3">
      <c r="A7">
        <v>40</v>
      </c>
      <c r="B7">
        <v>12</v>
      </c>
      <c r="D7" s="12"/>
      <c r="E7" s="12"/>
      <c r="F7" s="5" t="s">
        <v>10</v>
      </c>
      <c r="G7">
        <f t="shared" ref="G7:L9" ca="1" si="2">$A7+$B7*G$5</f>
        <v>472</v>
      </c>
      <c r="H7">
        <f t="shared" ca="1" si="2"/>
        <v>628</v>
      </c>
      <c r="I7">
        <f t="shared" ca="1" si="2"/>
        <v>220</v>
      </c>
      <c r="J7">
        <f t="shared" ca="1" si="2"/>
        <v>220</v>
      </c>
      <c r="K7">
        <f t="shared" ca="1" si="2"/>
        <v>244</v>
      </c>
      <c r="L7">
        <f t="shared" ca="1" si="2"/>
        <v>412</v>
      </c>
    </row>
    <row r="8" spans="1:18" x14ac:dyDescent="0.3">
      <c r="A8">
        <v>150</v>
      </c>
      <c r="B8">
        <v>3</v>
      </c>
      <c r="D8" s="12"/>
      <c r="E8" s="12"/>
      <c r="F8" s="5" t="s">
        <v>11</v>
      </c>
      <c r="G8">
        <f t="shared" ca="1" si="2"/>
        <v>258</v>
      </c>
      <c r="H8">
        <f t="shared" ca="1" si="2"/>
        <v>297</v>
      </c>
      <c r="I8">
        <f t="shared" ca="1" si="2"/>
        <v>195</v>
      </c>
      <c r="J8">
        <f t="shared" ca="1" si="2"/>
        <v>195</v>
      </c>
      <c r="K8">
        <f t="shared" ca="1" si="2"/>
        <v>201</v>
      </c>
      <c r="L8">
        <f t="shared" ca="1" si="2"/>
        <v>243</v>
      </c>
    </row>
    <row r="9" spans="1:18" x14ac:dyDescent="0.3">
      <c r="A9">
        <v>90</v>
      </c>
      <c r="B9">
        <v>8</v>
      </c>
      <c r="D9" s="12"/>
      <c r="E9" s="12"/>
      <c r="F9" s="5" t="s">
        <v>12</v>
      </c>
      <c r="G9">
        <f t="shared" ca="1" si="2"/>
        <v>378</v>
      </c>
      <c r="H9">
        <f t="shared" ca="1" si="2"/>
        <v>482</v>
      </c>
      <c r="I9">
        <f t="shared" ca="1" si="2"/>
        <v>210</v>
      </c>
      <c r="J9">
        <f t="shared" ca="1" si="2"/>
        <v>210</v>
      </c>
      <c r="K9">
        <f t="shared" ca="1" si="2"/>
        <v>226</v>
      </c>
      <c r="L9">
        <f t="shared" ca="1" si="2"/>
        <v>338</v>
      </c>
    </row>
    <row r="10" spans="1:18" x14ac:dyDescent="0.3">
      <c r="C10" s="12"/>
      <c r="D10" s="12"/>
      <c r="E10" s="12"/>
      <c r="F10" s="12"/>
      <c r="G10">
        <f ca="1">MIN(G6:G9)</f>
        <v>258</v>
      </c>
      <c r="H10">
        <f t="shared" ref="H10:L10" ca="1" si="3">MIN(H6:H9)</f>
        <v>297</v>
      </c>
      <c r="I10">
        <f t="shared" ca="1" si="3"/>
        <v>175</v>
      </c>
      <c r="J10">
        <f t="shared" ca="1" si="3"/>
        <v>175</v>
      </c>
      <c r="K10">
        <f t="shared" ca="1" si="3"/>
        <v>185</v>
      </c>
      <c r="L10">
        <f t="shared" ca="1" si="3"/>
        <v>243</v>
      </c>
    </row>
    <row r="11" spans="1:18" x14ac:dyDescent="0.3">
      <c r="C11" s="17" t="s">
        <v>51</v>
      </c>
      <c r="D11" t="s">
        <v>52</v>
      </c>
      <c r="E11" t="s">
        <v>53</v>
      </c>
      <c r="F11" t="s">
        <v>67</v>
      </c>
      <c r="M11" t="s">
        <v>60</v>
      </c>
      <c r="N11" t="s">
        <v>61</v>
      </c>
      <c r="O11" t="s">
        <v>62</v>
      </c>
    </row>
    <row r="12" spans="1:18" x14ac:dyDescent="0.3">
      <c r="A12" t="s">
        <v>16</v>
      </c>
      <c r="B12" t="s">
        <v>30</v>
      </c>
      <c r="C12" t="str">
        <f ca="1">IF(M12=$P$13,"ДА","НЕТ")</f>
        <v>НЕТ</v>
      </c>
      <c r="D12" t="str">
        <f ca="1">IF(N12=$P$15,"ДА","НЕТ")</f>
        <v>ДА</v>
      </c>
      <c r="E12" t="str">
        <f ca="1">IF(O12=$P$17,"ДА","НЕТ")</f>
        <v>НЕТ</v>
      </c>
      <c r="F12" s="18"/>
      <c r="G12" s="8">
        <f ca="1">$A6+$B6*G$5</f>
        <v>280</v>
      </c>
      <c r="H12" s="9">
        <f t="shared" ref="H12:L12" ca="1" si="4">$A6+$B6*H$5</f>
        <v>345</v>
      </c>
      <c r="I12" s="9">
        <f t="shared" ca="1" si="4"/>
        <v>175</v>
      </c>
      <c r="J12" s="9">
        <f t="shared" ca="1" si="4"/>
        <v>175</v>
      </c>
      <c r="K12" s="9">
        <f t="shared" ca="1" si="4"/>
        <v>185</v>
      </c>
      <c r="L12" s="10">
        <f t="shared" ca="1" si="4"/>
        <v>255</v>
      </c>
      <c r="M12">
        <f ca="1">MAX(G12:L12)</f>
        <v>345</v>
      </c>
      <c r="N12">
        <f ca="1">MIN(G12:L12)</f>
        <v>175</v>
      </c>
      <c r="O12">
        <f ca="1">SUM(G12:L12)/COUNT(G12:L12)</f>
        <v>235.83333333333334</v>
      </c>
      <c r="P12" t="s">
        <v>16</v>
      </c>
      <c r="Q12" t="s">
        <v>36</v>
      </c>
    </row>
    <row r="13" spans="1:18" x14ac:dyDescent="0.3">
      <c r="A13" t="s">
        <v>31</v>
      </c>
      <c r="C13" t="str">
        <f t="shared" ref="C13:C15" ca="1" si="5">IF(M13=$P$13,"ДА","НЕТ")</f>
        <v>НЕТ</v>
      </c>
      <c r="D13" t="str">
        <f t="shared" ref="D13:D15" ca="1" si="6">IF(N13=$P$15,"ДА","НЕТ")</f>
        <v>НЕТ</v>
      </c>
      <c r="E13" t="str">
        <f t="shared" ref="E13:E15" ca="1" si="7">IF(O13=$P$17,"ДА","НЕТ")</f>
        <v>НЕТ</v>
      </c>
      <c r="F13" s="18"/>
      <c r="G13" s="11">
        <f t="shared" ref="G13:L13" ca="1" si="8">$A7+$B7*G$5</f>
        <v>472</v>
      </c>
      <c r="H13" s="12">
        <f t="shared" ca="1" si="8"/>
        <v>628</v>
      </c>
      <c r="I13" s="12">
        <f t="shared" ca="1" si="8"/>
        <v>220</v>
      </c>
      <c r="J13" s="12">
        <f t="shared" ca="1" si="8"/>
        <v>220</v>
      </c>
      <c r="K13" s="12">
        <f t="shared" ca="1" si="8"/>
        <v>244</v>
      </c>
      <c r="L13" s="13">
        <f t="shared" ca="1" si="8"/>
        <v>412</v>
      </c>
      <c r="M13">
        <f ca="1">MAX(G13:L13)</f>
        <v>628</v>
      </c>
      <c r="N13">
        <f ca="1">MIN(G13:L13)</f>
        <v>220</v>
      </c>
      <c r="O13">
        <f t="shared" ref="O13:O15" ca="1" si="9">SUM(G13:L13)/COUNT(G13:L13)</f>
        <v>366</v>
      </c>
      <c r="P13">
        <f ca="1">MIN(M12:M15)</f>
        <v>297</v>
      </c>
    </row>
    <row r="14" spans="1:18" x14ac:dyDescent="0.3">
      <c r="A14" t="s">
        <v>32</v>
      </c>
      <c r="C14" t="str">
        <f t="shared" ca="1" si="5"/>
        <v>ДА</v>
      </c>
      <c r="D14" t="str">
        <f t="shared" ca="1" si="6"/>
        <v>НЕТ</v>
      </c>
      <c r="E14" t="str">
        <f t="shared" ca="1" si="7"/>
        <v>ДА</v>
      </c>
      <c r="F14" s="18"/>
      <c r="G14" s="11">
        <f t="shared" ref="G14:L14" ca="1" si="10">$A8+$B8*G$5</f>
        <v>258</v>
      </c>
      <c r="H14" s="12">
        <f t="shared" ca="1" si="10"/>
        <v>297</v>
      </c>
      <c r="I14" s="12">
        <f t="shared" ca="1" si="10"/>
        <v>195</v>
      </c>
      <c r="J14" s="12">
        <f t="shared" ca="1" si="10"/>
        <v>195</v>
      </c>
      <c r="K14" s="12">
        <f t="shared" ca="1" si="10"/>
        <v>201</v>
      </c>
      <c r="L14" s="13">
        <f t="shared" ca="1" si="10"/>
        <v>243</v>
      </c>
      <c r="M14">
        <f ca="1">MAX(G14:L14)</f>
        <v>297</v>
      </c>
      <c r="N14">
        <f ca="1">MIN(G14:L14)</f>
        <v>195</v>
      </c>
      <c r="O14">
        <f t="shared" ca="1" si="9"/>
        <v>231.5</v>
      </c>
      <c r="P14" t="s">
        <v>49</v>
      </c>
      <c r="Q14" t="s">
        <v>50</v>
      </c>
    </row>
    <row r="15" spans="1:18" x14ac:dyDescent="0.3">
      <c r="C15" t="str">
        <f t="shared" ca="1" si="5"/>
        <v>НЕТ</v>
      </c>
      <c r="D15" t="str">
        <f t="shared" ca="1" si="6"/>
        <v>НЕТ</v>
      </c>
      <c r="E15" t="str">
        <f t="shared" ca="1" si="7"/>
        <v>НЕТ</v>
      </c>
      <c r="F15" s="18"/>
      <c r="G15" s="14">
        <f t="shared" ref="G15:L15" ca="1" si="11">$A9+$B9*G$5</f>
        <v>378</v>
      </c>
      <c r="H15" s="15">
        <f t="shared" ca="1" si="11"/>
        <v>482</v>
      </c>
      <c r="I15" s="15">
        <f t="shared" ca="1" si="11"/>
        <v>210</v>
      </c>
      <c r="J15" s="15">
        <f t="shared" ca="1" si="11"/>
        <v>210</v>
      </c>
      <c r="K15" s="15">
        <f t="shared" ca="1" si="11"/>
        <v>226</v>
      </c>
      <c r="L15" s="16">
        <f t="shared" ca="1" si="11"/>
        <v>338</v>
      </c>
      <c r="M15">
        <f ca="1">MAX(G15:L15)</f>
        <v>482</v>
      </c>
      <c r="N15">
        <f ca="1">MIN(G15:L15)</f>
        <v>210</v>
      </c>
      <c r="O15">
        <f t="shared" ca="1" si="9"/>
        <v>307.33333333333331</v>
      </c>
      <c r="P15">
        <f ca="1">MIN(N12:N15)</f>
        <v>175</v>
      </c>
    </row>
    <row r="16" spans="1:18" x14ac:dyDescent="0.3">
      <c r="G16" s="12"/>
      <c r="H16" s="12"/>
      <c r="I16" s="12"/>
      <c r="J16" s="12"/>
      <c r="K16" s="12"/>
      <c r="L16" s="12"/>
      <c r="P16" t="s">
        <v>58</v>
      </c>
      <c r="Q16" t="s">
        <v>59</v>
      </c>
    </row>
    <row r="17" spans="1:23" x14ac:dyDescent="0.3">
      <c r="G17" s="12"/>
      <c r="H17" s="12"/>
      <c r="I17" s="12"/>
      <c r="J17" s="12"/>
      <c r="K17" s="12"/>
      <c r="L17" s="12"/>
      <c r="P17">
        <f ca="1">MIN(O12:O15)</f>
        <v>231.5</v>
      </c>
    </row>
    <row r="19" spans="1:23" x14ac:dyDescent="0.3">
      <c r="F19">
        <f>SUM(G19:L19)</f>
        <v>1</v>
      </c>
      <c r="G19">
        <v>0.15</v>
      </c>
      <c r="H19">
        <v>0.1</v>
      </c>
      <c r="I19">
        <v>0.4</v>
      </c>
      <c r="J19">
        <v>0.05</v>
      </c>
      <c r="K19">
        <v>0.25</v>
      </c>
      <c r="L19">
        <v>0.05</v>
      </c>
      <c r="P19" t="s">
        <v>18</v>
      </c>
      <c r="Q19" t="s">
        <v>65</v>
      </c>
      <c r="R19" t="s">
        <v>68</v>
      </c>
      <c r="T19" t="s">
        <v>69</v>
      </c>
      <c r="V19" t="s">
        <v>38</v>
      </c>
    </row>
    <row r="20" spans="1:23" x14ac:dyDescent="0.3">
      <c r="C20" t="s">
        <v>54</v>
      </c>
      <c r="D20" t="s">
        <v>55</v>
      </c>
      <c r="E20" t="s">
        <v>66</v>
      </c>
      <c r="M20" t="s">
        <v>63</v>
      </c>
      <c r="N20" t="s">
        <v>64</v>
      </c>
      <c r="R20">
        <v>0.8</v>
      </c>
      <c r="T20">
        <v>0.5</v>
      </c>
      <c r="V20">
        <v>0.2</v>
      </c>
    </row>
    <row r="21" spans="1:23" x14ac:dyDescent="0.3">
      <c r="A21" t="s">
        <v>18</v>
      </c>
      <c r="C21" t="str">
        <f ca="1">IF(M21=$P$21,"ДА","НЕТ")</f>
        <v>ДА</v>
      </c>
      <c r="D21" s="18"/>
      <c r="G21" s="8">
        <f t="shared" ref="G21:L24" ca="1" si="12">$A6+$B6*G$5</f>
        <v>280</v>
      </c>
      <c r="H21" s="9">
        <f t="shared" ca="1" si="12"/>
        <v>345</v>
      </c>
      <c r="I21" s="9">
        <f t="shared" ca="1" si="12"/>
        <v>175</v>
      </c>
      <c r="J21" s="9">
        <f t="shared" ca="1" si="12"/>
        <v>175</v>
      </c>
      <c r="K21" s="9">
        <f t="shared" ca="1" si="12"/>
        <v>185</v>
      </c>
      <c r="L21" s="10">
        <f t="shared" ca="1" si="12"/>
        <v>255</v>
      </c>
      <c r="M21" s="17">
        <f ca="1">SUM($G$19*G21,$H$19*H21,$I$19*I21,$J$19*J21,$K$19*K21,$L$19*L21)</f>
        <v>214.25</v>
      </c>
      <c r="N21" s="17">
        <f ca="1">MAX(G21:L21)</f>
        <v>345</v>
      </c>
      <c r="P21">
        <f ca="1">MIN(M21:M24)</f>
        <v>214.25</v>
      </c>
      <c r="R21">
        <f ca="1">R$20*$M21+(1-R$20)*N21</f>
        <v>240.39999999999998</v>
      </c>
      <c r="S21" t="str">
        <f ca="1">IF(R21=R$25,"ДА","НЕТ")</f>
        <v>НЕТ</v>
      </c>
      <c r="T21">
        <f ca="1">T$20*$M21+(1-T$20)*$N21</f>
        <v>279.625</v>
      </c>
      <c r="U21" t="str">
        <f ca="1">IF(T21=T$25,"ДА","НЕТ")</f>
        <v>НЕТ</v>
      </c>
      <c r="V21">
        <f ca="1">V$20*$M21+(1-V$20)*$N21</f>
        <v>318.85000000000002</v>
      </c>
      <c r="W21" t="str">
        <f ca="1">IF(V21=V$25,"ДА","НЕТ")</f>
        <v>НЕТ</v>
      </c>
    </row>
    <row r="22" spans="1:23" x14ac:dyDescent="0.3">
      <c r="A22" t="s">
        <v>45</v>
      </c>
      <c r="C22" t="str">
        <f ca="1">IF(M22=$P$21,"ДА","НЕТ")</f>
        <v>НЕТ</v>
      </c>
      <c r="D22" s="18"/>
      <c r="G22" s="11">
        <f t="shared" ca="1" si="12"/>
        <v>472</v>
      </c>
      <c r="H22" s="12">
        <f t="shared" ca="1" si="12"/>
        <v>628</v>
      </c>
      <c r="I22" s="12">
        <f t="shared" ca="1" si="12"/>
        <v>220</v>
      </c>
      <c r="J22" s="12">
        <f t="shared" ca="1" si="12"/>
        <v>220</v>
      </c>
      <c r="K22" s="12">
        <f t="shared" ca="1" si="12"/>
        <v>244</v>
      </c>
      <c r="L22" s="13">
        <f t="shared" ca="1" si="12"/>
        <v>412</v>
      </c>
      <c r="M22" s="17">
        <f ca="1">SUM($G$19*G22,$H$19*H22,$I$19*I22,$J$19*J22,$K$19*K22,$L$19*L22)</f>
        <v>314.20000000000005</v>
      </c>
      <c r="N22" s="17">
        <f ca="1">MAX(G22:L22)</f>
        <v>628</v>
      </c>
      <c r="R22">
        <f ca="1">R$20*$M22+(1-R$20)*N22</f>
        <v>376.96000000000004</v>
      </c>
      <c r="S22" t="str">
        <f ca="1">IF(R22=R$25,"ДА","НЕТ")</f>
        <v>НЕТ</v>
      </c>
      <c r="T22">
        <f ca="1">T$20*$M22+(1-T$20)*$N22</f>
        <v>471.1</v>
      </c>
      <c r="U22" t="str">
        <f ca="1">IF(T22=T$25,"ДА","НЕТ")</f>
        <v>НЕТ</v>
      </c>
      <c r="V22">
        <f ca="1">V$20*$M22+(1-V$20)*$N22</f>
        <v>565.24</v>
      </c>
      <c r="W22" t="str">
        <f ca="1">IF(V22=V$25,"ДА","НЕТ")</f>
        <v>НЕТ</v>
      </c>
    </row>
    <row r="23" spans="1:23" x14ac:dyDescent="0.3">
      <c r="A23" t="s">
        <v>46</v>
      </c>
      <c r="C23" t="str">
        <f ca="1">IF(M23=$P$21,"ДА","НЕТ")</f>
        <v>НЕТ</v>
      </c>
      <c r="D23" s="18"/>
      <c r="G23" s="11">
        <f t="shared" ca="1" si="12"/>
        <v>258</v>
      </c>
      <c r="H23" s="12">
        <f t="shared" ca="1" si="12"/>
        <v>297</v>
      </c>
      <c r="I23" s="12">
        <f t="shared" ca="1" si="12"/>
        <v>195</v>
      </c>
      <c r="J23" s="12">
        <f t="shared" ca="1" si="12"/>
        <v>195</v>
      </c>
      <c r="K23" s="12">
        <f t="shared" ca="1" si="12"/>
        <v>201</v>
      </c>
      <c r="L23" s="13">
        <f t="shared" ca="1" si="12"/>
        <v>243</v>
      </c>
      <c r="M23" s="17">
        <f ca="1">SUM($G$19*G23,$H$19*H23,$I$19*I23,$J$19*J23,$K$19*K23,$L$19*L23)</f>
        <v>218.55</v>
      </c>
      <c r="N23" s="17">
        <f ca="1">MAX(G23:L23)</f>
        <v>297</v>
      </c>
      <c r="R23">
        <f ca="1">R$20*$M23+(1-R$20)*N23</f>
        <v>234.24</v>
      </c>
      <c r="S23" t="str">
        <f ca="1">IF(R23=R$25,"ДА","НЕТ")</f>
        <v>ДА</v>
      </c>
      <c r="T23">
        <f ca="1">T$20*$M23+(1-T$20)*$N23</f>
        <v>257.77499999999998</v>
      </c>
      <c r="U23" t="str">
        <f ca="1">IF(T23=T$25,"ДА","НЕТ")</f>
        <v>ДА</v>
      </c>
      <c r="V23">
        <f ca="1">V$20*$M23+(1-V$20)*$N23</f>
        <v>281.31000000000006</v>
      </c>
      <c r="W23" t="str">
        <f ca="1">IF(V23=V$25,"ДА","НЕТ")</f>
        <v>ДА</v>
      </c>
    </row>
    <row r="24" spans="1:23" ht="15" thickBot="1" x14ac:dyDescent="0.35">
      <c r="A24" t="s">
        <v>47</v>
      </c>
      <c r="C24" t="str">
        <f ca="1">IF(M24=$P$21,"ДА","НЕТ")</f>
        <v>НЕТ</v>
      </c>
      <c r="D24" s="18"/>
      <c r="G24" s="14">
        <f t="shared" ca="1" si="12"/>
        <v>378</v>
      </c>
      <c r="H24" s="15">
        <f t="shared" ca="1" si="12"/>
        <v>482</v>
      </c>
      <c r="I24" s="15">
        <f t="shared" ca="1" si="12"/>
        <v>210</v>
      </c>
      <c r="J24" s="15">
        <f t="shared" ca="1" si="12"/>
        <v>210</v>
      </c>
      <c r="K24" s="15">
        <f t="shared" ca="1" si="12"/>
        <v>226</v>
      </c>
      <c r="L24" s="16">
        <f t="shared" ca="1" si="12"/>
        <v>338</v>
      </c>
      <c r="M24" s="17">
        <f ca="1">SUM($G$19*G24,$H$19*H24,$I$19*I24,$J$19*J24,$K$19*K24,$L$19*L24)</f>
        <v>272.8</v>
      </c>
      <c r="N24" s="17">
        <f ca="1">MAX(G24:L24)</f>
        <v>482</v>
      </c>
      <c r="R24">
        <f ca="1">R$20*$M24+(1-R$20)*N24</f>
        <v>314.64</v>
      </c>
      <c r="S24" t="str">
        <f ca="1">IF(R24=R$25,"ДА","НЕТ")</f>
        <v>НЕТ</v>
      </c>
      <c r="T24">
        <f ca="1">T$20*$M24+(1-T$20)*$N24</f>
        <v>377.4</v>
      </c>
      <c r="U24" t="str">
        <f ca="1">IF(T24=T$25,"ДА","НЕТ")</f>
        <v>НЕТ</v>
      </c>
      <c r="V24">
        <f ca="1">V$20*$M24+(1-V$20)*$N24</f>
        <v>440.16</v>
      </c>
      <c r="W24" t="str">
        <f ca="1">IF(V24=V$25,"ДА","НЕТ")</f>
        <v>НЕТ</v>
      </c>
    </row>
    <row r="25" spans="1:23" ht="15" thickBot="1" x14ac:dyDescent="0.35">
      <c r="D25" s="19"/>
      <c r="G25" s="12"/>
      <c r="H25" s="12"/>
      <c r="I25" s="12"/>
      <c r="J25" s="12"/>
      <c r="K25" s="12"/>
      <c r="L25" s="12"/>
      <c r="M25" s="17"/>
      <c r="N25" s="17"/>
      <c r="R25" s="20">
        <f ca="1">MIN(R21:R24)</f>
        <v>234.24</v>
      </c>
      <c r="T25" s="20">
        <f ca="1">MIN(T21:T24)</f>
        <v>257.77499999999998</v>
      </c>
      <c r="V25" s="20">
        <f ca="1">MIN(V21:V24)</f>
        <v>281.31000000000006</v>
      </c>
    </row>
    <row r="26" spans="1:23" x14ac:dyDescent="0.3">
      <c r="D26" s="19"/>
      <c r="G26" s="12"/>
      <c r="H26" s="12"/>
      <c r="I26" s="12"/>
      <c r="J26" s="12"/>
      <c r="K26" s="12"/>
      <c r="L26" s="12"/>
      <c r="M26" s="17"/>
      <c r="N26" s="17"/>
    </row>
    <row r="27" spans="1:23" x14ac:dyDescent="0.3">
      <c r="F27" t="s">
        <v>74</v>
      </c>
      <c r="G27">
        <f ca="1">SUM(G$6:G$9)/SUM($G$6:$L$9)</f>
        <v>0.20280537697253068</v>
      </c>
      <c r="H27">
        <f ca="1">SUM(H$6:H$9)/SUM($G$6:$L$9)</f>
        <v>0.25599064874342492</v>
      </c>
      <c r="I27">
        <f ca="1">SUM(I$6:I$9)/SUM($G$6:$L$9)</f>
        <v>0.11689070718877849</v>
      </c>
      <c r="J27">
        <f ca="1">SUM(J$6:J$9)/SUM($G$6:$L$9)</f>
        <v>0.11689070718877849</v>
      </c>
      <c r="K27">
        <f ca="1">SUM(K$6:K$9)/SUM($G$6:$L$9)</f>
        <v>0.12507305669199298</v>
      </c>
      <c r="L27">
        <f ca="1">SUM(L$6:L$9)/SUM($G$6:$L$9)</f>
        <v>0.18234950321449445</v>
      </c>
      <c r="Q27" t="s">
        <v>19</v>
      </c>
    </row>
    <row r="28" spans="1:23" ht="28.8" x14ac:dyDescent="0.3">
      <c r="C28" t="s">
        <v>56</v>
      </c>
      <c r="D28" t="s">
        <v>53</v>
      </c>
      <c r="E28" t="s">
        <v>57</v>
      </c>
      <c r="F28" s="21" t="s">
        <v>75</v>
      </c>
      <c r="G28">
        <f ca="1">SUM(G$29:G$32)/SUM($G$29:$L$32)</f>
        <v>0.23544973544973544</v>
      </c>
      <c r="H28">
        <f ca="1">SUM(H$29:H$32)/SUM($G$29:$L$32)</f>
        <v>0.37301587301587302</v>
      </c>
      <c r="I28">
        <f ca="1">SUM(I$29:I$32)/SUM($G$29:$L$32)</f>
        <v>6.6137566137566134E-2</v>
      </c>
      <c r="J28">
        <f ca="1">SUM(J$29:J$32)/SUM($G$29:$L$32)</f>
        <v>6.6137566137566134E-2</v>
      </c>
      <c r="K28">
        <f ca="1">SUM(K$29:K$32)/SUM($G$29:$L$32)</f>
        <v>7.6719576719576715E-2</v>
      </c>
      <c r="L28">
        <f ca="1">SUM(L$29:L$32)/SUM($G$29:$L$32)</f>
        <v>0.18253968253968253</v>
      </c>
      <c r="M28" t="s">
        <v>70</v>
      </c>
      <c r="N28" t="s">
        <v>71</v>
      </c>
      <c r="O28" s="21" t="s">
        <v>76</v>
      </c>
      <c r="P28" t="s">
        <v>77</v>
      </c>
      <c r="Q28">
        <f ca="1">MIN(M29:M32)</f>
        <v>20</v>
      </c>
    </row>
    <row r="29" spans="1:23" x14ac:dyDescent="0.3">
      <c r="A29" t="s">
        <v>19</v>
      </c>
      <c r="C29" t="str">
        <f ca="1">IF(M29=$Q$28,"ДА","НЕТ")</f>
        <v>НЕТ</v>
      </c>
      <c r="D29" t="str">
        <f ca="1">IF(N29=$Q$30,"ДА","НЕТ")</f>
        <v>НЕТ</v>
      </c>
      <c r="E29" t="str">
        <f ca="1">IF(O29=$Q$32,"ДА","НЕТ")</f>
        <v>НЕТ</v>
      </c>
      <c r="F29" t="str">
        <f ca="1">IF(P29=$Q$34,"ДА","НЕТ")</f>
        <v>НЕТ</v>
      </c>
      <c r="G29" s="8">
        <f t="shared" ref="G29:L32" ca="1" si="13">G6-G$10</f>
        <v>22</v>
      </c>
      <c r="H29" s="9">
        <f t="shared" ca="1" si="13"/>
        <v>48</v>
      </c>
      <c r="I29" s="9">
        <f t="shared" ca="1" si="13"/>
        <v>0</v>
      </c>
      <c r="J29" s="9">
        <f t="shared" ca="1" si="13"/>
        <v>0</v>
      </c>
      <c r="K29" s="9">
        <f t="shared" ca="1" si="13"/>
        <v>0</v>
      </c>
      <c r="L29" s="10">
        <f t="shared" ca="1" si="13"/>
        <v>12</v>
      </c>
      <c r="M29">
        <f ca="1">MAX(G29:L29)</f>
        <v>48</v>
      </c>
      <c r="N29">
        <f ca="1">SUM(G29:L29)/COUNT(G29:L29)</f>
        <v>13.666666666666666</v>
      </c>
      <c r="O29">
        <f ca="1">SUMPRODUCT($G$27:$L$27,G29:L29)</f>
        <v>18.937463471654006</v>
      </c>
      <c r="P29">
        <f ca="1">SUMPRODUCT($G$28:$L$28,G6:L6)</f>
        <v>278.50529100529104</v>
      </c>
      <c r="Q29" t="s">
        <v>72</v>
      </c>
    </row>
    <row r="30" spans="1:23" x14ac:dyDescent="0.3">
      <c r="A30" t="s">
        <v>48</v>
      </c>
      <c r="C30" t="str">
        <f ca="1">IF(M30=$Q$28,"ДА","НЕТ")</f>
        <v>НЕТ</v>
      </c>
      <c r="D30" t="str">
        <f ca="1">IF(N30=$Q$30,"ДА","НЕТ")</f>
        <v>НЕТ</v>
      </c>
      <c r="E30" t="str">
        <f ca="1">IF(O30=$Q$32,"ДА","НЕТ")</f>
        <v>НЕТ</v>
      </c>
      <c r="F30" t="str">
        <f ca="1">IF(P30=$Q$34,"ДА","НЕТ")</f>
        <v>НЕТ</v>
      </c>
      <c r="G30" s="11">
        <f t="shared" ca="1" si="13"/>
        <v>214</v>
      </c>
      <c r="H30" s="12">
        <f t="shared" ca="1" si="13"/>
        <v>331</v>
      </c>
      <c r="I30" s="12">
        <f t="shared" ca="1" si="13"/>
        <v>45</v>
      </c>
      <c r="J30" s="12">
        <f t="shared" ca="1" si="13"/>
        <v>45</v>
      </c>
      <c r="K30" s="12">
        <f t="shared" ca="1" si="13"/>
        <v>59</v>
      </c>
      <c r="L30" s="13">
        <f t="shared" ca="1" si="13"/>
        <v>169</v>
      </c>
      <c r="M30">
        <f ca="1">MAX(G30:L30)</f>
        <v>331</v>
      </c>
      <c r="N30">
        <f ca="1">SUM(G30:L30)/COUNT(G30:L30)</f>
        <v>143.83333333333334</v>
      </c>
      <c r="O30">
        <f ca="1">SUMPRODUCT($G$27:$L$27,G30:L30)</f>
        <v>176.84979544126239</v>
      </c>
      <c r="P30">
        <f ca="1">SUMPRODUCT($G$28:$L$28,G7:L7)</f>
        <v>468.41269841269843</v>
      </c>
      <c r="Q30">
        <f ca="1">MIN(N29:N32)</f>
        <v>9.3333333333333339</v>
      </c>
    </row>
    <row r="31" spans="1:23" x14ac:dyDescent="0.3">
      <c r="C31" t="str">
        <f ca="1">IF(M31=$Q$28,"ДА","НЕТ")</f>
        <v>ДА</v>
      </c>
      <c r="D31" t="str">
        <f ca="1">IF(N31=$Q$30,"ДА","НЕТ")</f>
        <v>ДА</v>
      </c>
      <c r="E31" t="str">
        <f ca="1">IF(O31=$Q$32,"ДА","НЕТ")</f>
        <v>ДА</v>
      </c>
      <c r="F31" t="str">
        <f ca="1">IF(P31=$Q$34,"ДА","НЕТ")</f>
        <v>ДА</v>
      </c>
      <c r="G31" s="11">
        <f t="shared" ca="1" si="13"/>
        <v>0</v>
      </c>
      <c r="H31" s="12">
        <f t="shared" ca="1" si="13"/>
        <v>0</v>
      </c>
      <c r="I31" s="12">
        <f t="shared" ca="1" si="13"/>
        <v>20</v>
      </c>
      <c r="J31" s="12">
        <f t="shared" ca="1" si="13"/>
        <v>20</v>
      </c>
      <c r="K31" s="12">
        <f t="shared" ca="1" si="13"/>
        <v>16</v>
      </c>
      <c r="L31" s="13">
        <f t="shared" ca="1" si="13"/>
        <v>0</v>
      </c>
      <c r="M31">
        <f ca="1">MAX(G31:L31)</f>
        <v>20</v>
      </c>
      <c r="N31">
        <f ca="1">SUM(G31:L31)/COUNT(G31:L31)</f>
        <v>9.3333333333333339</v>
      </c>
      <c r="O31">
        <f ca="1">SUMPRODUCT($G$27:$L$27,G31:L31)</f>
        <v>6.6767971946230276</v>
      </c>
      <c r="P31">
        <f ca="1">SUMPRODUCT($G$28:$L$28,G8:L8)</f>
        <v>257.10317460317458</v>
      </c>
      <c r="Q31" t="s">
        <v>73</v>
      </c>
    </row>
    <row r="32" spans="1:23" x14ac:dyDescent="0.3">
      <c r="C32" t="str">
        <f ca="1">IF(M32=$Q$28,"ДА","НЕТ")</f>
        <v>НЕТ</v>
      </c>
      <c r="D32" t="str">
        <f ca="1">IF(N32=$Q$30,"ДА","НЕТ")</f>
        <v>НЕТ</v>
      </c>
      <c r="E32" t="str">
        <f ca="1">IF(O32=$Q$32,"ДА","НЕТ")</f>
        <v>НЕТ</v>
      </c>
      <c r="F32" t="str">
        <f ca="1">IF(P32=$Q$34,"ДА","НЕТ")</f>
        <v>НЕТ</v>
      </c>
      <c r="G32" s="14">
        <f t="shared" ca="1" si="13"/>
        <v>120</v>
      </c>
      <c r="H32" s="15">
        <f t="shared" ca="1" si="13"/>
        <v>185</v>
      </c>
      <c r="I32" s="15">
        <f t="shared" ca="1" si="13"/>
        <v>35</v>
      </c>
      <c r="J32" s="15">
        <f t="shared" ca="1" si="13"/>
        <v>35</v>
      </c>
      <c r="K32" s="15">
        <f t="shared" ca="1" si="13"/>
        <v>41</v>
      </c>
      <c r="L32" s="16">
        <f t="shared" ca="1" si="13"/>
        <v>95</v>
      </c>
      <c r="M32">
        <f ca="1">MAX(G32:L32)</f>
        <v>185</v>
      </c>
      <c r="N32">
        <f ca="1">SUM(G32:L32)/COUNT(G32:L32)</f>
        <v>85.166666666666671</v>
      </c>
      <c r="O32">
        <f ca="1">SUMPRODUCT($G$27:$L$27,G32:L32)</f>
        <v>102.32846288720046</v>
      </c>
      <c r="P32">
        <f ca="1">SUMPRODUCT($G$28:$L$28,G9:L9)</f>
        <v>375.60846560846568</v>
      </c>
      <c r="Q32">
        <f ca="1">MIN(O29:O32)</f>
        <v>6.6767971946230276</v>
      </c>
    </row>
    <row r="33" spans="1:17" x14ac:dyDescent="0.3">
      <c r="G33" s="12"/>
      <c r="H33" s="12"/>
      <c r="I33" s="12"/>
      <c r="J33" s="12"/>
      <c r="K33" s="12"/>
      <c r="L33" s="12"/>
      <c r="Q33" t="s">
        <v>78</v>
      </c>
    </row>
    <row r="34" spans="1:17" x14ac:dyDescent="0.3">
      <c r="Q34">
        <f ca="1">MIN(P29:P32)</f>
        <v>257.10317460317458</v>
      </c>
    </row>
    <row r="35" spans="1:17" x14ac:dyDescent="0.3">
      <c r="M35" t="s">
        <v>34</v>
      </c>
      <c r="N35" t="s">
        <v>35</v>
      </c>
      <c r="P35" t="s">
        <v>39</v>
      </c>
    </row>
    <row r="36" spans="1:17" x14ac:dyDescent="0.3">
      <c r="A36" t="s">
        <v>17</v>
      </c>
      <c r="B36" t="s">
        <v>33</v>
      </c>
      <c r="C36" t="str">
        <f ca="1">IF(C44=$C$49,"ДА","НЕТ")</f>
        <v>НЕТ</v>
      </c>
      <c r="G36" s="8">
        <f t="shared" ref="G36:L39" ca="1" si="14">$A6+$B6*G$5</f>
        <v>280</v>
      </c>
      <c r="H36" s="9">
        <f t="shared" ca="1" si="14"/>
        <v>345</v>
      </c>
      <c r="I36" s="9">
        <f t="shared" ca="1" si="14"/>
        <v>175</v>
      </c>
      <c r="J36" s="9">
        <f t="shared" ca="1" si="14"/>
        <v>175</v>
      </c>
      <c r="K36" s="9">
        <f t="shared" ca="1" si="14"/>
        <v>185</v>
      </c>
      <c r="L36" s="10">
        <f t="shared" ca="1" si="14"/>
        <v>255</v>
      </c>
      <c r="M36">
        <f ca="1">MAX(G36:L36)</f>
        <v>345</v>
      </c>
      <c r="N36">
        <f ca="1">MIN(G36:L36)</f>
        <v>175</v>
      </c>
    </row>
    <row r="37" spans="1:17" x14ac:dyDescent="0.3">
      <c r="C37" t="str">
        <f ca="1">IF(C45=$C$49,"ДА","НЕТ")</f>
        <v>НЕТ</v>
      </c>
      <c r="G37" s="11">
        <f t="shared" ca="1" si="14"/>
        <v>472</v>
      </c>
      <c r="H37" s="12">
        <f t="shared" ca="1" si="14"/>
        <v>628</v>
      </c>
      <c r="I37" s="12">
        <f t="shared" ca="1" si="14"/>
        <v>220</v>
      </c>
      <c r="J37" s="12">
        <f t="shared" ca="1" si="14"/>
        <v>220</v>
      </c>
      <c r="K37" s="12">
        <f t="shared" ca="1" si="14"/>
        <v>244</v>
      </c>
      <c r="L37" s="13">
        <f t="shared" ca="1" si="14"/>
        <v>412</v>
      </c>
      <c r="M37">
        <f ca="1">MAX(G37:L37)</f>
        <v>628</v>
      </c>
      <c r="N37">
        <f ca="1">MIN(G37:L37)</f>
        <v>220</v>
      </c>
    </row>
    <row r="38" spans="1:17" x14ac:dyDescent="0.3">
      <c r="C38" t="str">
        <f ca="1">IF(C46=$C$49,"ДА","НЕТ")</f>
        <v>ДА</v>
      </c>
      <c r="G38" s="11">
        <f t="shared" ca="1" si="14"/>
        <v>258</v>
      </c>
      <c r="H38" s="12">
        <f t="shared" ca="1" si="14"/>
        <v>297</v>
      </c>
      <c r="I38" s="12">
        <f t="shared" ca="1" si="14"/>
        <v>195</v>
      </c>
      <c r="J38" s="12">
        <f t="shared" ca="1" si="14"/>
        <v>195</v>
      </c>
      <c r="K38" s="12">
        <f t="shared" ca="1" si="14"/>
        <v>201</v>
      </c>
      <c r="L38" s="13">
        <f t="shared" ca="1" si="14"/>
        <v>243</v>
      </c>
      <c r="M38">
        <f ca="1">MAX(G38:L38)</f>
        <v>297</v>
      </c>
      <c r="N38">
        <f ca="1">MIN(G38:L38)</f>
        <v>195</v>
      </c>
    </row>
    <row r="39" spans="1:17" x14ac:dyDescent="0.3">
      <c r="C39" t="str">
        <f ca="1">IF(C47=$C$49,"ДА","НЕТ")</f>
        <v>НЕТ</v>
      </c>
      <c r="G39" s="14">
        <f t="shared" ca="1" si="14"/>
        <v>378</v>
      </c>
      <c r="H39" s="15">
        <f t="shared" ca="1" si="14"/>
        <v>482</v>
      </c>
      <c r="I39" s="15">
        <f t="shared" ca="1" si="14"/>
        <v>210</v>
      </c>
      <c r="J39" s="15">
        <f t="shared" ca="1" si="14"/>
        <v>210</v>
      </c>
      <c r="K39" s="15">
        <f t="shared" ca="1" si="14"/>
        <v>226</v>
      </c>
      <c r="L39" s="16">
        <f t="shared" ca="1" si="14"/>
        <v>338</v>
      </c>
      <c r="M39">
        <f ca="1">MAX(G39:L39)</f>
        <v>482</v>
      </c>
      <c r="N39">
        <f ca="1">MIN(G39:L39)</f>
        <v>210</v>
      </c>
    </row>
    <row r="41" spans="1:17" x14ac:dyDescent="0.3">
      <c r="B41" t="s">
        <v>37</v>
      </c>
      <c r="C41" t="s">
        <v>40</v>
      </c>
      <c r="F41" t="s">
        <v>38</v>
      </c>
      <c r="H41" t="s">
        <v>41</v>
      </c>
      <c r="J41" t="s">
        <v>43</v>
      </c>
      <c r="L41" t="s">
        <v>42</v>
      </c>
      <c r="N41" t="s">
        <v>44</v>
      </c>
    </row>
    <row r="42" spans="1:17" x14ac:dyDescent="0.3">
      <c r="C42">
        <v>0.95</v>
      </c>
      <c r="F42">
        <v>0.7</v>
      </c>
      <c r="H42">
        <v>0.5</v>
      </c>
      <c r="J42">
        <v>0.35</v>
      </c>
      <c r="L42">
        <v>0.2</v>
      </c>
      <c r="N42">
        <v>0.05</v>
      </c>
    </row>
    <row r="44" spans="1:17" x14ac:dyDescent="0.3">
      <c r="B44">
        <v>1</v>
      </c>
      <c r="C44">
        <f ca="1">C$42*$M36+(1-C$42)*$N36</f>
        <v>336.5</v>
      </c>
      <c r="E44" t="str">
        <f ca="1">IF(C44=C$49,"ДА","НЕТ")</f>
        <v>НЕТ</v>
      </c>
      <c r="F44">
        <f ca="1">F$42*$M36+(1-F$42)*$N36</f>
        <v>294</v>
      </c>
      <c r="G44" t="str">
        <f ca="1">IF(F44=F$49,"ДА","НЕТ")</f>
        <v>НЕТ</v>
      </c>
      <c r="H44">
        <f ca="1">H$42*$M36+(1-H$42)*$N36</f>
        <v>260</v>
      </c>
      <c r="I44" t="str">
        <f ca="1">IF(H44=H$49,"ДА","НЕТ")</f>
        <v>НЕТ</v>
      </c>
      <c r="J44">
        <f ca="1">J$42*$M36+(1-J$42)*$N36</f>
        <v>234.5</v>
      </c>
      <c r="K44" t="str">
        <f ca="1">IF(J44=J$49,"ДА","НЕТ")</f>
        <v>НЕТ</v>
      </c>
      <c r="L44">
        <f ca="1">L$42*$M36+(1-L$42)*$N36</f>
        <v>209</v>
      </c>
      <c r="M44" t="str">
        <f ca="1">IF(L44=L$49,"ДА","НЕТ")</f>
        <v>ДА</v>
      </c>
      <c r="N44">
        <f ca="1">N$42*$M36+(1-N$42)*$N36</f>
        <v>183.5</v>
      </c>
      <c r="P44" t="str">
        <f ca="1">IF(N44=N$49,"ДА","НЕТ")</f>
        <v>ДА</v>
      </c>
    </row>
    <row r="45" spans="1:17" x14ac:dyDescent="0.3">
      <c r="B45">
        <v>2</v>
      </c>
      <c r="C45">
        <f ca="1">C$42*$M37+(1-C$42)*$N37</f>
        <v>607.6</v>
      </c>
      <c r="E45" t="str">
        <f ca="1">IF(C45=$C$49,"ДА","НЕТ")</f>
        <v>НЕТ</v>
      </c>
      <c r="F45">
        <f ca="1">F$42*$M37+(1-F$42)*$N37</f>
        <v>505.59999999999997</v>
      </c>
      <c r="G45" t="str">
        <f ca="1">IF(F45=F$49,"ДА","НЕТ")</f>
        <v>НЕТ</v>
      </c>
      <c r="H45">
        <f ca="1">H$42*$M37+(1-H$42)*$N37</f>
        <v>424</v>
      </c>
      <c r="I45" t="str">
        <f ca="1">IF(H45=H$49,"ДА","НЕТ")</f>
        <v>НЕТ</v>
      </c>
      <c r="J45">
        <f ca="1">J$42*$M37+(1-J$42)*$N37</f>
        <v>362.79999999999995</v>
      </c>
      <c r="K45" t="str">
        <f ca="1">IF(J45=J$49,"ДА","НЕТ")</f>
        <v>НЕТ</v>
      </c>
      <c r="L45">
        <f ca="1">L$42*$M37+(1-L$42)*$N37</f>
        <v>301.60000000000002</v>
      </c>
      <c r="M45" t="str">
        <f ca="1">IF(L45=L$49,"ДА","НЕТ")</f>
        <v>НЕТ</v>
      </c>
      <c r="N45">
        <f ca="1">N$42*$M37+(1-N$42)*$N37</f>
        <v>240.4</v>
      </c>
      <c r="P45" t="str">
        <f ca="1">IF(N45=N$49,"ДА","НЕТ")</f>
        <v>НЕТ</v>
      </c>
    </row>
    <row r="46" spans="1:17" x14ac:dyDescent="0.3">
      <c r="B46">
        <v>3</v>
      </c>
      <c r="C46">
        <f ca="1">C$42*$M38+(1-C$42)*$N38</f>
        <v>291.89999999999998</v>
      </c>
      <c r="E46" t="str">
        <f ca="1">IF(C46=$C$49,"ДА","НЕТ")</f>
        <v>ДА</v>
      </c>
      <c r="F46">
        <f ca="1">F$42*$M38+(1-F$42)*$N38</f>
        <v>266.39999999999998</v>
      </c>
      <c r="G46" t="str">
        <f ca="1">IF(F46=F$49,"ДА","НЕТ")</f>
        <v>ДА</v>
      </c>
      <c r="H46">
        <f ca="1">H$42*$M38+(1-H$42)*$N38</f>
        <v>246</v>
      </c>
      <c r="I46" t="str">
        <f ca="1">IF(H46=H$49,"ДА","НЕТ")</f>
        <v>ДА</v>
      </c>
      <c r="J46">
        <f ca="1">J$42*$M38+(1-J$42)*$N38</f>
        <v>230.7</v>
      </c>
      <c r="K46" t="str">
        <f ca="1">IF(J46=J$49,"ДА","НЕТ")</f>
        <v>ДА</v>
      </c>
      <c r="L46">
        <f ca="1">L$42*$M38+(1-L$42)*$N38</f>
        <v>215.4</v>
      </c>
      <c r="M46" t="str">
        <f ca="1">IF(L46=L$49,"ДА","НЕТ")</f>
        <v>НЕТ</v>
      </c>
      <c r="N46">
        <f ca="1">N$42*$M38+(1-N$42)*$N38</f>
        <v>200.1</v>
      </c>
      <c r="P46" t="str">
        <f ca="1">IF(N46=N$49,"ДА","НЕТ")</f>
        <v>НЕТ</v>
      </c>
    </row>
    <row r="47" spans="1:17" x14ac:dyDescent="0.3">
      <c r="B47">
        <v>4</v>
      </c>
      <c r="C47">
        <f ca="1">C$42*$M39+(1-C$42)*$N39</f>
        <v>468.4</v>
      </c>
      <c r="E47" t="str">
        <f ca="1">IF(C47=$C$49,"ДА","НЕТ")</f>
        <v>НЕТ</v>
      </c>
      <c r="F47">
        <f ca="1">F$42*$M39+(1-F$42)*$N39</f>
        <v>400.4</v>
      </c>
      <c r="G47" t="str">
        <f ca="1">IF(F47=F$49,"ДА","НЕТ")</f>
        <v>НЕТ</v>
      </c>
      <c r="H47">
        <f ca="1">H$42*$M39+(1-H$42)*$N39</f>
        <v>346</v>
      </c>
      <c r="I47" t="str">
        <f ca="1">IF(H47=H$49,"ДА","НЕТ")</f>
        <v>НЕТ</v>
      </c>
      <c r="J47">
        <f ca="1">J$42*$M39+(1-J$42)*$N39</f>
        <v>305.2</v>
      </c>
      <c r="K47" t="str">
        <f ca="1">IF(J47=J$49,"ДА","НЕТ")</f>
        <v>НЕТ</v>
      </c>
      <c r="L47">
        <f ca="1">L$42*$M39+(1-L$42)*$N39</f>
        <v>264.39999999999998</v>
      </c>
      <c r="M47" t="str">
        <f ca="1">IF(L47=L$49,"ДА","НЕТ")</f>
        <v>НЕТ</v>
      </c>
      <c r="N47">
        <f ca="1">N$42*$M39+(1-N$42)*$N39</f>
        <v>223.6</v>
      </c>
      <c r="P47" t="str">
        <f ca="1">IF(N47=N$49,"ДА","НЕТ")</f>
        <v>НЕТ</v>
      </c>
    </row>
    <row r="48" spans="1:17" x14ac:dyDescent="0.3">
      <c r="C48" t="s">
        <v>17</v>
      </c>
    </row>
    <row r="49" spans="3:14" x14ac:dyDescent="0.3">
      <c r="C49">
        <f ca="1">MIN(C44:C47)</f>
        <v>291.89999999999998</v>
      </c>
      <c r="F49">
        <f ca="1">MIN(F44:F47)</f>
        <v>266.39999999999998</v>
      </c>
      <c r="H49">
        <f ca="1">MIN(H44:H47)</f>
        <v>246</v>
      </c>
      <c r="J49">
        <f ca="1">MIN(J44:J47)</f>
        <v>230.7</v>
      </c>
      <c r="L49">
        <f ca="1">MIN(L44:L47)</f>
        <v>209</v>
      </c>
      <c r="N49">
        <f ca="1">MIN(N44:N47)</f>
        <v>183.5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2025-10-12T13:58:21Z</dcterms:created>
  <dcterms:modified xsi:type="dcterms:W3CDTF">2025-10-23T07:53:52Z</dcterms:modified>
</cp:coreProperties>
</file>